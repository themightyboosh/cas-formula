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Printable" sheetId="4" state="visible" r:id="rId4"/>
    <sheet xmlns:r="http://schemas.openxmlformats.org/officeDocument/2006/relationships" name="Archetyp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rgb="FF000000"/>
      <sz val="14"/>
    </font>
    <font>
      <name val="Arial"/>
      <i val="1"/>
      <color rgb="FF000000"/>
      <sz val="14"/>
    </font>
    <font>
      <name val="Arial"/>
      <color rgb="FF000000"/>
      <sz val="14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9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THE REALNESS SCORE</t>
        </is>
      </c>
    </row>
    <row r="2">
      <c r="A2" s="2" t="n"/>
    </row>
    <row r="3">
      <c r="A3" s="6" t="inlineStr">
        <is>
          <t>Affect. Self-Consciousness. Attachment. Choice.</t>
        </is>
      </c>
    </row>
    <row r="4">
      <c r="A4" s="2" t="inlineStr">
        <is>
          <t>Feel it, don’t fake it.</t>
        </is>
      </c>
    </row>
    <row r="5">
      <c r="A5" s="2" t="n"/>
    </row>
    <row r="6">
      <c r="A6" s="2" t="inlineStr">
        <is>
          <t>SECTION 1 — QUICK REALNESS CHECK</t>
        </is>
      </c>
    </row>
    <row r="7">
      <c r="A7" s="2" t="n"/>
    </row>
    <row r="8">
      <c r="A8" s="2" t="inlineStr">
        <is>
          <t>Instructions:</t>
        </is>
      </c>
    </row>
    <row r="9">
      <c r="A9" s="5" t="inlineStr">
        <is>
          <t>Rate each statement from 1 to 5.</t>
        </is>
      </c>
    </row>
    <row r="10">
      <c r="A10" s="5" t="inlineStr">
        <is>
          <t>1 = Not at all true of me</t>
        </is>
      </c>
    </row>
    <row r="11">
      <c r="A11" s="5" t="inlineStr">
        <is>
          <t>5 = Very true of me</t>
        </is>
      </c>
    </row>
    <row r="12">
      <c r="A12" s="5" t="n"/>
      <c r="B12" s="0" t="inlineStr">
        <is>
          <t>CAS-15 Response (1–5)</t>
        </is>
      </c>
    </row>
    <row r="13">
      <c r="A13" s="5" t="inlineStr">
        <is>
          <t>1. I can notice emotions in my body.</t>
        </is>
      </c>
    </row>
    <row r="14">
      <c r="A14" s="5" t="inlineStr">
        <is>
          <t>2. When I feel uncomfortable, I act okay.</t>
        </is>
      </c>
    </row>
    <row r="15">
      <c r="A15" s="5" t="inlineStr">
        <is>
          <t>3. I show excitement naturally when something matters.</t>
        </is>
      </c>
    </row>
    <row r="16">
      <c r="A16" s="5" t="inlineStr">
        <is>
          <t>4. I shut down my feelings when I feel exposed.</t>
        </is>
      </c>
    </row>
    <row r="17">
      <c r="A17" s="5" t="inlineStr">
        <is>
          <t>5. I can show anger or disappointment without losing control.</t>
        </is>
      </c>
    </row>
    <row r="18">
      <c r="A18" s="5" t="inlineStr">
        <is>
          <t>6. I act cheerful so people don’t think I’m difficult.</t>
        </is>
      </c>
    </row>
    <row r="19">
      <c r="A19" s="5" t="inlineStr">
        <is>
          <t>7. When I’m hurt, I can ask for help.</t>
        </is>
      </c>
    </row>
    <row r="20">
      <c r="A20" s="5" t="inlineStr">
        <is>
          <t>8. I pull away from people before they can reject me.</t>
        </is>
      </c>
    </row>
    <row r="21">
      <c r="A21" s="5" t="inlineStr">
        <is>
          <t>9. I enjoy good moments without expecting bad things.</t>
        </is>
      </c>
    </row>
    <row r="22">
      <c r="A22" s="5" t="inlineStr">
        <is>
          <t>10. I use humor or confidence to hide real feelings.</t>
        </is>
      </c>
    </row>
    <row r="23">
      <c r="A23" s="5" t="inlineStr">
        <is>
          <t>11. When I’m scared, I tell someone.</t>
        </is>
      </c>
    </row>
    <row r="24">
      <c r="A24" s="5" t="inlineStr">
        <is>
          <t>12. I explain myself too much when I feel judged.</t>
        </is>
      </c>
    </row>
    <row r="25">
      <c r="A25" s="5" t="inlineStr">
        <is>
          <t>13. I notice embarrassment without attacking myself.</t>
        </is>
      </c>
    </row>
    <row r="26">
      <c r="A26" s="5" t="inlineStr">
        <is>
          <t>14. I use work or helping others to avoid my feelings.</t>
        </is>
      </c>
    </row>
    <row r="27">
      <c r="A27" s="5" t="inlineStr">
        <is>
          <t>15. I feel like the same person inside and outside.</t>
        </is>
      </c>
    </row>
    <row r="28">
      <c r="A28" s="5" t="inlineStr">
        <is>
          <t>CAS-15 Total Score</t>
        </is>
      </c>
      <c r="B28" s="0">
        <f>SUM(B13:B27)</f>
        <v/>
      </c>
    </row>
    <row r="29">
      <c r="A29" s="2" t="inlineStr">
        <is>
          <t>SECTION 2 — FULL REALNESS ASSESSMENT</t>
        </is>
      </c>
    </row>
    <row r="30">
      <c r="A30" s="2" t="n"/>
    </row>
    <row r="31">
      <c r="A31" s="2" t="inlineStr">
        <is>
          <t>Instructions:</t>
        </is>
      </c>
    </row>
    <row r="32">
      <c r="A32" s="5" t="inlineStr">
        <is>
          <t>Rate each statement from 1 to 5.</t>
        </is>
      </c>
    </row>
    <row r="33">
      <c r="A33" s="5" t="inlineStr">
        <is>
          <t>1 = Not at all true of me</t>
        </is>
      </c>
    </row>
    <row r="34">
      <c r="A34" s="5" t="inlineStr">
        <is>
          <t>5 = Very true of me</t>
        </is>
      </c>
    </row>
    <row r="35">
      <c r="A35" s="5" t="n"/>
    </row>
    <row r="36">
      <c r="A36" s="2" t="inlineStr">
        <is>
          <t>A. NOTICING YOUR FEELINGS</t>
        </is>
      </c>
    </row>
    <row r="37">
      <c r="A37" s="2" t="n"/>
    </row>
    <row r="38">
      <c r="A38" s="6" t="inlineStr">
        <is>
          <t>How well you notice and handle your feelings.</t>
        </is>
      </c>
    </row>
    <row r="39">
      <c r="A39" s="6" t="n"/>
      <c r="B39" s="0" t="inlineStr">
        <is>
          <t>CAS-40 Response (1–5)</t>
        </is>
      </c>
    </row>
    <row r="40">
      <c r="A40" s="5" t="inlineStr">
        <is>
          <t>1. I can notice emotions in my body.</t>
        </is>
      </c>
    </row>
    <row r="41">
      <c r="A41" s="5" t="inlineStr">
        <is>
          <t>2. When I feel uncomfortable, I act okay.</t>
        </is>
      </c>
    </row>
    <row r="42">
      <c r="A42" s="5" t="inlineStr">
        <is>
          <t>3. I show excitement naturally when something matters.</t>
        </is>
      </c>
    </row>
    <row r="43">
      <c r="A43" s="5" t="inlineStr">
        <is>
          <t>4. I shut down my feelings when I feel exposed.</t>
        </is>
      </c>
    </row>
    <row r="44">
      <c r="A44" s="5" t="inlineStr">
        <is>
          <t>5. I can show anger or disappointment without losing control.</t>
        </is>
      </c>
    </row>
    <row r="45">
      <c r="A45" s="5" t="inlineStr">
        <is>
          <t>6. I act cheerful so people don’t think I’m difficult.</t>
        </is>
      </c>
    </row>
    <row r="46">
      <c r="A46" s="5" t="inlineStr">
        <is>
          <t>7. When I’m hurt, I can ask for help.</t>
        </is>
      </c>
    </row>
    <row r="47">
      <c r="A47" s="5" t="inlineStr">
        <is>
          <t>8. I pull away from people before they can reject me.</t>
        </is>
      </c>
    </row>
    <row r="48">
      <c r="A48" s="5" t="inlineStr">
        <is>
          <t>9. I enjoy good moments without expecting bad things.</t>
        </is>
      </c>
    </row>
    <row r="49">
      <c r="A49" s="5" t="inlineStr">
        <is>
          <t>10. I use humor or confidence to hide real feelings.</t>
        </is>
      </c>
    </row>
    <row r="50">
      <c r="A50" s="5" t="inlineStr">
        <is>
          <t>Subscale A Total (Affect Self-Contact)</t>
        </is>
      </c>
      <c r="B50" s="0">
        <f>SUM(B40:B49)</f>
        <v/>
      </c>
    </row>
    <row r="51">
      <c r="A51" s="2" t="inlineStr">
        <is>
          <t>B. SHOWING YOUR REAL SELF</t>
        </is>
      </c>
    </row>
    <row r="52">
      <c r="A52" s="2" t="n"/>
    </row>
    <row r="53">
      <c r="A53" s="6" t="inlineStr">
        <is>
          <t>How well your outside matches your inside.</t>
        </is>
      </c>
    </row>
    <row r="54">
      <c r="A54" s="6" t="n"/>
    </row>
    <row r="55">
      <c r="A55" s="5" t="inlineStr">
        <is>
          <t>11. When I’m scared, I tell someone.</t>
        </is>
      </c>
    </row>
    <row r="56">
      <c r="A56" s="5" t="inlineStr">
        <is>
          <t>12. I explain myself too much when I feel judged.</t>
        </is>
      </c>
    </row>
    <row r="57">
      <c r="A57" s="5" t="inlineStr">
        <is>
          <t>13. I notice embarrassment without attacking myself.</t>
        </is>
      </c>
    </row>
    <row r="58">
      <c r="A58" s="5" t="inlineStr">
        <is>
          <t>14. I use work or helping others to avoid my feelings.</t>
        </is>
      </c>
    </row>
    <row r="59">
      <c r="A59" s="5" t="inlineStr">
        <is>
          <t>15. I feel like the same person inside and outside.</t>
        </is>
      </c>
    </row>
    <row r="60">
      <c r="A60" s="5" t="inlineStr">
        <is>
          <t>16. I worry that showing feelings will burden people.</t>
        </is>
      </c>
    </row>
    <row r="61">
      <c r="A61" s="5" t="inlineStr">
        <is>
          <t>17. I can say no without feeling guilty.</t>
        </is>
      </c>
    </row>
    <row r="62">
      <c r="A62" s="5" t="inlineStr">
        <is>
          <t>18. I use humor or charm to hide tough feelings.</t>
        </is>
      </c>
    </row>
    <row r="63">
      <c r="A63" s="5" t="inlineStr">
        <is>
          <t>19. I say what I need instead of hinting.</t>
        </is>
      </c>
    </row>
    <row r="64">
      <c r="A64" s="5" t="inlineStr">
        <is>
          <t>20. I act competent to avoid feeling exposed.</t>
        </is>
      </c>
    </row>
    <row r="65">
      <c r="A65" s="5" t="inlineStr">
        <is>
          <t>Subscale B Total (Authentic Expression)</t>
        </is>
      </c>
      <c r="B65" s="0">
        <f>SUM(B55:B64)</f>
        <v/>
      </c>
    </row>
    <row r="66">
      <c r="A66" s="2" t="inlineStr">
        <is>
          <t>C. HOW YOU PROTECT YOURSELF</t>
        </is>
      </c>
    </row>
    <row r="67">
      <c r="A67" s="2" t="n"/>
    </row>
    <row r="68">
      <c r="A68" s="6" t="inlineStr">
        <is>
          <t>How you react when you feel watched or judged.</t>
        </is>
      </c>
    </row>
    <row r="69">
      <c r="A69" s="6" t="n"/>
    </row>
    <row r="70">
      <c r="A70" s="5" t="inlineStr">
        <is>
          <t>21. I shut down emotionally when I feel judged.</t>
        </is>
      </c>
    </row>
    <row r="71">
      <c r="A71" s="5" t="inlineStr">
        <is>
          <t>22. I blame others to avoid feeling discomfort.</t>
        </is>
      </c>
    </row>
    <row r="72">
      <c r="A72" s="5" t="inlineStr">
        <is>
          <t>23. I try to impress people to avoid criticism.</t>
        </is>
      </c>
    </row>
    <row r="73">
      <c r="A73" s="5" t="inlineStr">
        <is>
          <t>24. I hold back opinions to avoid conflict.</t>
        </is>
      </c>
    </row>
    <row r="74">
      <c r="A74" s="5" t="inlineStr">
        <is>
          <t>25. I go numb when someone gets too close.</t>
        </is>
      </c>
    </row>
    <row r="75">
      <c r="A75" s="5" t="inlineStr">
        <is>
          <t>26. I move into perfectionism when I feel self‑conscious.</t>
        </is>
      </c>
    </row>
    <row r="76">
      <c r="A76" s="5" t="inlineStr">
        <is>
          <t>27. I hide mistakes because being wrong feels unbearable.</t>
        </is>
      </c>
    </row>
    <row r="77">
      <c r="A77" s="5" t="inlineStr">
        <is>
          <t>28. I use criticism or sarcasm to cover insecurity.</t>
        </is>
      </c>
    </row>
    <row r="78">
      <c r="A78" s="5" t="inlineStr">
        <is>
          <t>29. I disconnect from people when I feel exposed.</t>
        </is>
      </c>
    </row>
    <row r="79">
      <c r="A79" s="5" t="inlineStr">
        <is>
          <t>30. I ruin good situations because they make me too visible.</t>
        </is>
      </c>
    </row>
    <row r="80">
      <c r="A80" s="5" t="inlineStr">
        <is>
          <t>Subscale C Total (Self-Consciousness Defense)</t>
        </is>
      </c>
      <c r="B80" s="0">
        <f>SUM(B70:B79)</f>
        <v/>
      </c>
    </row>
    <row r="81">
      <c r="A81" s="2" t="inlineStr">
        <is>
          <t>D. HOW YOU CONNECT WITH OTHERS</t>
        </is>
      </c>
    </row>
    <row r="82">
      <c r="A82" s="2" t="n"/>
    </row>
    <row r="83">
      <c r="A83" s="6" t="inlineStr">
        <is>
          <t>How you usually act in close relationships.</t>
        </is>
      </c>
    </row>
    <row r="84">
      <c r="A84" s="6" t="n"/>
    </row>
    <row r="85">
      <c r="A85" s="5" t="inlineStr">
        <is>
          <t>31. I rely on others without fear.</t>
        </is>
      </c>
    </row>
    <row r="86">
      <c r="A86" s="5" t="inlineStr">
        <is>
          <t>32. I worry people will leave if I’m not emotionally available.</t>
        </is>
      </c>
    </row>
    <row r="87">
      <c r="A87" s="5" t="inlineStr">
        <is>
          <t>33. I feel safer depending on myself.</t>
        </is>
      </c>
    </row>
    <row r="88">
      <c r="A88" s="5" t="inlineStr">
        <is>
          <t>34. My reactions in relationships swing quickly.</t>
        </is>
      </c>
    </row>
    <row r="89">
      <c r="A89" s="5" t="inlineStr">
        <is>
          <t>35. I trust that conflict can be repaired.</t>
        </is>
      </c>
    </row>
    <row r="90">
      <c r="A90" s="5" t="inlineStr">
        <is>
          <t>36. I watch for signs that people are pulling away.</t>
        </is>
      </c>
    </row>
    <row r="91">
      <c r="A91" s="5" t="inlineStr">
        <is>
          <t>37. Too much closeness makes me uncomfortable.</t>
        </is>
      </c>
    </row>
    <row r="92">
      <c r="A92" s="5" t="inlineStr">
        <is>
          <t>38. I can’t predict how I’ll react in close situations.</t>
        </is>
      </c>
    </row>
    <row r="93">
      <c r="A93" s="5" t="inlineStr">
        <is>
          <t>39. I feel understood by at least one or two people.</t>
        </is>
      </c>
    </row>
    <row r="94">
      <c r="A94" s="5" t="inlineStr">
        <is>
          <t>40. I get overwhelmed when someone wants more closeness than I can handle.</t>
        </is>
      </c>
    </row>
    <row r="95">
      <c r="A95" s="5" t="inlineStr">
        <is>
          <t>Subscale D Total (Relational Stance)</t>
        </is>
      </c>
      <c r="B95" s="0">
        <f>SUM(B85:B94)</f>
        <v/>
      </c>
    </row>
    <row r="96">
      <c r="A96" s="0" t="inlineStr">
        <is>
          <t>CAS-40 Total Score</t>
        </is>
      </c>
      <c r="B96" s="0">
        <f>SUM(B40:B49,B55:B64,B70:B79,B85:B94)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REALNESS SCORE DASHBOARD</t>
        </is>
      </c>
    </row>
    <row r="3">
      <c r="A3" s="0" t="inlineStr">
        <is>
          <t>Quick Realness Check (CAS-15)</t>
        </is>
      </c>
      <c r="B3" s="0">
        <f>Sheet1!B28</f>
        <v/>
      </c>
    </row>
    <row r="5">
      <c r="A5" s="0" t="inlineStr">
        <is>
          <t>Full Realness Score (CAS-40)</t>
        </is>
      </c>
      <c r="B5" s="0">
        <f>Sheet1!B96</f>
        <v/>
      </c>
    </row>
    <row r="7">
      <c r="A7" s="0" t="inlineStr">
        <is>
          <t>Subscale A: Noticing Your Feelings</t>
        </is>
      </c>
      <c r="B7" s="0">
        <f>Sheet1!B50</f>
        <v/>
      </c>
    </row>
    <row r="9">
      <c r="A9" s="0" t="inlineStr">
        <is>
          <t>Subscale B: Showing Your Real Self</t>
        </is>
      </c>
      <c r="B9" s="0">
        <f>Sheet1!B65</f>
        <v/>
      </c>
    </row>
    <row r="11">
      <c r="A11" s="0" t="inlineStr">
        <is>
          <t>Subscale C: How You Protect Yourself</t>
        </is>
      </c>
      <c r="B11" s="0">
        <f>Sheet1!B80</f>
        <v/>
      </c>
    </row>
    <row r="13">
      <c r="A13" s="0" t="inlineStr">
        <is>
          <t>Subscale D: How You Connect With Others</t>
        </is>
      </c>
      <c r="B13" s="0">
        <f>Sheet1!B95</f>
        <v/>
      </c>
    </row>
    <row r="15">
      <c r="A15" t="inlineStr">
        <is>
          <t>Your Realness Archetype</t>
        </is>
      </c>
      <c r="B15">
        <f>Archetypes!H3</f>
        <v/>
      </c>
    </row>
    <row r="16">
      <c r="A16" t="inlineStr">
        <is>
          <t>Archetype Description</t>
        </is>
      </c>
      <c r="B16">
        <f>Archetypes!H4</f>
        <v/>
      </c>
    </row>
    <row r="17">
      <c r="A17" t="inlineStr">
        <is>
          <t>Most Compatible Archetype</t>
        </is>
      </c>
      <c r="B17">
        <f>Archetypes!H5</f>
        <v/>
      </c>
    </row>
    <row r="18">
      <c r="A18" t="inlineStr">
        <is>
          <t>Challenging Match Archetype</t>
        </is>
      </c>
      <c r="B18">
        <f>Archetypes!H6</f>
        <v/>
      </c>
    </row>
    <row r="19">
      <c r="A19" t="inlineStr">
        <is>
          <t>Image Prompt (for AI art)</t>
        </is>
      </c>
      <c r="B19">
        <f>Archetypes!H7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SUBSCALE DEFINITIONS</t>
        </is>
      </c>
    </row>
    <row r="3">
      <c r="A3" s="0" t="inlineStr">
        <is>
          <t>Noticing Your Feelings</t>
        </is>
      </c>
      <c r="B3" s="0" t="inlineStr">
        <is>
          <t>How well you notice and handle your feelings.</t>
        </is>
      </c>
    </row>
    <row r="5">
      <c r="A5" s="0" t="inlineStr">
        <is>
          <t>Showing Your Real Self</t>
        </is>
      </c>
      <c r="B5" s="0" t="inlineStr">
        <is>
          <t>How honestly you express what you feel.</t>
        </is>
      </c>
    </row>
    <row r="7">
      <c r="A7" s="0" t="inlineStr">
        <is>
          <t>How You Protect Yourself</t>
        </is>
      </c>
      <c r="B7" s="0" t="inlineStr">
        <is>
          <t>How you react when you feel watched or judged.</t>
        </is>
      </c>
    </row>
    <row r="9">
      <c r="A9" s="0" t="inlineStr">
        <is>
          <t>How You Connect With Others</t>
        </is>
      </c>
      <c r="B9" s="0" t="inlineStr">
        <is>
          <t>How you usually act in close relationships.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THE REALNESS SCORE – PRINTABLE ASSESSMENT</t>
        </is>
      </c>
    </row>
    <row r="3">
      <c r="A3" s="0" t="inlineStr">
        <is>
          <t>Use this sheet to print a clean version of the assessment.</t>
        </is>
      </c>
    </row>
    <row r="5">
      <c r="A5" s="0" t="inlineStr">
        <is>
          <t>Rate each statement from 1 to 5.</t>
        </is>
      </c>
      <c r="B5" s="0" t="inlineStr">
        <is>
          <t>______</t>
        </is>
      </c>
    </row>
    <row r="7">
      <c r="A7" s="0" t="inlineStr">
        <is>
          <t>Rate each statement from 1 to 5.</t>
        </is>
      </c>
      <c r="B7" s="0" t="inlineStr">
        <is>
          <t>______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REALNESS ARCHETYPES – CLASSIFICATION</t>
        </is>
      </c>
    </row>
    <row r="3">
      <c r="A3" t="inlineStr">
        <is>
          <t>Subscale Scores</t>
        </is>
      </c>
      <c r="B3" t="inlineStr">
        <is>
          <t>A – Noticing Your Feelings</t>
        </is>
      </c>
      <c r="C3" t="inlineStr">
        <is>
          <t>B – Showing Your Real Self</t>
        </is>
      </c>
      <c r="D3" t="inlineStr">
        <is>
          <t>C – How You Protect Yourself</t>
        </is>
      </c>
      <c r="E3" t="inlineStr">
        <is>
          <t>D – How You Connect With Others</t>
        </is>
      </c>
      <c r="G3" t="inlineStr">
        <is>
          <t>Best-fit Archetype</t>
        </is>
      </c>
      <c r="H3">
        <f>IF($B$5="","",INDEX(B10:B25,MATCH(MIN(L10:L25),L10:L25,0)))</f>
        <v/>
      </c>
    </row>
    <row r="4">
      <c r="B4">
        <f>Sheet1!B50</f>
        <v/>
      </c>
      <c r="C4">
        <f>Sheet1!B65</f>
        <v/>
      </c>
      <c r="D4">
        <f>Sheet1!B80</f>
        <v/>
      </c>
      <c r="E4">
        <f>Sheet1!B95</f>
        <v/>
      </c>
      <c r="G4" t="inlineStr">
        <is>
          <t>Description</t>
        </is>
      </c>
      <c r="H4">
        <f>IF($B$5="","",INDEX(H10:H25,MATCH(MIN(L10:L25),L10:L25,0)))</f>
        <v/>
      </c>
    </row>
    <row r="5">
      <c r="A5" t="inlineStr">
        <is>
          <t>Level (1=Low, 2=Medium, 3=High)</t>
        </is>
      </c>
      <c r="B5">
        <f>IF(B4="","",IF(B4&lt;=23,1,IF(B4&lt;=36,2,3)))</f>
        <v/>
      </c>
      <c r="C5">
        <f>IF(C4="","",IF(C4&lt;=23,1,IF(C4&lt;=36,2,3)))</f>
        <v/>
      </c>
      <c r="D5">
        <f>IF(D4="","",IF(D4&lt;=23,1,IF(D4&lt;=36,2,3)))</f>
        <v/>
      </c>
      <c r="E5">
        <f>IF(E4="","",IF(E4&lt;=23,1,IF(E4&lt;=36,2,3)))</f>
        <v/>
      </c>
      <c r="G5" t="inlineStr">
        <is>
          <t>Most Compatible With</t>
        </is>
      </c>
      <c r="H5">
        <f>IF($B$5="","",INDEX(I10:I25,MATCH(MIN(L10:L25),L10:L25,0)))</f>
        <v/>
      </c>
    </row>
    <row r="6">
      <c r="G6" t="inlineStr">
        <is>
          <t>Challenging Match</t>
        </is>
      </c>
      <c r="H6">
        <f>IF($B$5="","",INDEX(J10:J25,MATCH(MIN(L10:L25),L10:L25,0)))</f>
        <v/>
      </c>
    </row>
    <row r="7">
      <c r="G7" t="inlineStr">
        <is>
          <t>Image Prompt</t>
        </is>
      </c>
      <c r="H7">
        <f>IF($B$5="","",INDEX(K10:K25,MATCH(MIN(L10:L25),L10:L25,0)))</f>
        <v/>
      </c>
    </row>
    <row r="9">
      <c r="A9" t="inlineStr">
        <is>
          <t>ID</t>
        </is>
      </c>
      <c r="B9" t="inlineStr">
        <is>
          <t>Archetype Name</t>
        </is>
      </c>
      <c r="C9" t="inlineStr">
        <is>
          <t>Short Tag</t>
        </is>
      </c>
      <c r="D9" t="inlineStr">
        <is>
          <t>A Level</t>
        </is>
      </c>
      <c r="E9" t="inlineStr">
        <is>
          <t>B Level</t>
        </is>
      </c>
      <c r="F9" t="inlineStr">
        <is>
          <t>C Level</t>
        </is>
      </c>
      <c r="G9" t="inlineStr">
        <is>
          <t>D Level</t>
        </is>
      </c>
      <c r="H9" t="inlineStr">
        <is>
          <t>One-line Description</t>
        </is>
      </c>
      <c r="I9" t="inlineStr">
        <is>
          <t>Most Compatible</t>
        </is>
      </c>
      <c r="J9" t="inlineStr">
        <is>
          <t>Least Compatible</t>
        </is>
      </c>
      <c r="K9" t="inlineStr">
        <is>
          <t>Visual Prompt</t>
        </is>
      </c>
      <c r="L9" t="inlineStr">
        <is>
          <t>Distance</t>
        </is>
      </c>
    </row>
    <row r="10">
      <c r="A10" t="n">
        <v>1</v>
      </c>
      <c r="B10" t="inlineStr">
        <is>
          <t>The Resonant Sage</t>
        </is>
      </c>
      <c r="C10" t="inlineStr">
        <is>
          <t>Wise Regulator</t>
        </is>
      </c>
      <c r="D10" t="n">
        <v>3</v>
      </c>
      <c r="E10" t="n">
        <v>3</v>
      </c>
      <c r="F10" t="n">
        <v>1</v>
      </c>
      <c r="G10" t="n">
        <v>3</v>
      </c>
      <c r="H10" t="inlineStr">
        <is>
          <t>Deep-feeling, steady, and emotionally grounded.</t>
        </is>
      </c>
      <c r="I10" t="inlineStr">
        <is>
          <t>The Soft Anchor</t>
        </is>
      </c>
      <c r="J10" t="inlineStr">
        <is>
          <t>The Iron Mask</t>
        </is>
      </c>
      <c r="K10" t="inlineStr">
        <is>
          <t>A calm guardian carved from shadowed stone, soft light glowing inside their chest, standing alone in a field at dusk, realistic, dark muted palette, subtle inner glow, highly detailed.</t>
        </is>
      </c>
      <c r="L10">
        <f>IF($B$5="","",ABS(D10-$B$5)+ABS(E10-$C$5)+ABS(F10-$D$5)+ABS(G10-$E$5))</f>
        <v/>
      </c>
    </row>
    <row r="11">
      <c r="A11" t="n">
        <v>2</v>
      </c>
      <c r="B11" t="inlineStr">
        <is>
          <t>The Soft Anchor</t>
        </is>
      </c>
      <c r="C11" t="inlineStr">
        <is>
          <t>Warm Stabilizer</t>
        </is>
      </c>
      <c r="D11" t="n">
        <v>3</v>
      </c>
      <c r="E11" t="n">
        <v>2</v>
      </c>
      <c r="F11" t="n">
        <v>1</v>
      </c>
      <c r="G11" t="n">
        <v>3</v>
      </c>
      <c r="H11" t="inlineStr">
        <is>
          <t>Gentle, steady, and nurturing in relationships.</t>
        </is>
      </c>
      <c r="I11" t="inlineStr">
        <is>
          <t>The Resonant Sage</t>
        </is>
      </c>
      <c r="J11" t="inlineStr">
        <is>
          <t>The Stormbound</t>
        </is>
      </c>
      <c r="K11" t="inlineStr">
        <is>
          <t>A figure sitting on a weathered pier over dark water at sunset, soft light around them, posture relaxed and inviting, semi-realistic, moody but warm atmosphere.</t>
        </is>
      </c>
      <c r="L11">
        <f>IF($B$5="","",ABS(D11-$B$5)+ABS(E11-$C$5)+ABS(F11-$D$5)+ABS(G11-$E$5))</f>
        <v/>
      </c>
    </row>
    <row r="12">
      <c r="A12" t="n">
        <v>3</v>
      </c>
      <c r="B12" t="inlineStr">
        <is>
          <t>The Stormbound</t>
        </is>
      </c>
      <c r="C12" t="inlineStr">
        <is>
          <t>Hidden Storm</t>
        </is>
      </c>
      <c r="D12" t="n">
        <v>3</v>
      </c>
      <c r="E12" t="n">
        <v>1</v>
      </c>
      <c r="F12" t="n">
        <v>3</v>
      </c>
      <c r="G12" t="n">
        <v>1</v>
      </c>
      <c r="H12" t="inlineStr">
        <is>
          <t>Feels intensely inside but stays guarded and overwhelmed.</t>
        </is>
      </c>
      <c r="I12" t="inlineStr">
        <is>
          <t>The Truth Teller</t>
        </is>
      </c>
      <c r="J12" t="inlineStr">
        <is>
          <t>The Soft Anchor</t>
        </is>
      </c>
      <c r="K12" t="inlineStr">
        <is>
          <t>A person made of swirling storm clouds, faint lightning under the skin, seated in a dim room, shafts of light from a single window, cinematic realism, dramatic shadows.</t>
        </is>
      </c>
      <c r="L12">
        <f>IF($B$5="","",ABS(D12-$B$5)+ABS(E12-$C$5)+ABS(F12-$D$5)+ABS(G12-$E$5))</f>
        <v/>
      </c>
    </row>
    <row r="13">
      <c r="A13" t="n">
        <v>4</v>
      </c>
      <c r="B13" t="inlineStr">
        <is>
          <t>The Truth Teller</t>
        </is>
      </c>
      <c r="C13" t="inlineStr">
        <is>
          <t>Blunt Realist</t>
        </is>
      </c>
      <c r="D13" t="n">
        <v>3</v>
      </c>
      <c r="E13" t="n">
        <v>3</v>
      </c>
      <c r="F13" t="n">
        <v>2</v>
      </c>
      <c r="G13" t="n">
        <v>1</v>
      </c>
      <c r="H13" t="inlineStr">
        <is>
          <t>Emotionally aware and radically honest, sometimes too sharp.</t>
        </is>
      </c>
      <c r="I13" t="inlineStr">
        <is>
          <t>The Stormbound</t>
        </is>
      </c>
      <c r="J13" t="inlineStr">
        <is>
          <t>The Gentle Ghost</t>
        </is>
      </c>
      <c r="K13" t="inlineStr">
        <is>
          <t>A figure speaking into the dark, words forming visible glowing lines in the air, sharp edges of light, high contrast, realistic style with a slightly surreal twist.</t>
        </is>
      </c>
      <c r="L13">
        <f>IF($B$5="","",ABS(D13-$B$5)+ABS(E13-$C$5)+ABS(F13-$D$5)+ABS(G13-$E$5))</f>
        <v/>
      </c>
    </row>
    <row r="14">
      <c r="A14" t="n">
        <v>5</v>
      </c>
      <c r="B14" t="inlineStr">
        <is>
          <t>The Open Flame</t>
        </is>
      </c>
      <c r="C14" t="inlineStr">
        <is>
          <t>Impulsive Feeler</t>
        </is>
      </c>
      <c r="D14" t="n">
        <v>2</v>
      </c>
      <c r="E14" t="n">
        <v>3</v>
      </c>
      <c r="F14" t="n">
        <v>1</v>
      </c>
      <c r="G14" t="n">
        <v>2</v>
      </c>
      <c r="H14" t="inlineStr">
        <is>
          <t>Expressive and passionate, quick to feel and show emotions.</t>
        </is>
      </c>
      <c r="I14" t="inlineStr">
        <is>
          <t>The Inner Compass</t>
        </is>
      </c>
      <c r="J14" t="inlineStr">
        <is>
          <t>The Fortress-Keeper</t>
        </is>
      </c>
      <c r="K14" t="inlineStr">
        <is>
          <t>A person surrounded by small floating sparks in a dark room, eyes bright, mid-motion as if laughing or talking, warm highlights against deep shadow, expressive realism.</t>
        </is>
      </c>
      <c r="L14">
        <f>IF($B$5="","",ABS(D14-$B$5)+ABS(E14-$C$5)+ABS(F14-$D$5)+ABS(G14-$E$5))</f>
        <v/>
      </c>
    </row>
    <row r="15">
      <c r="A15" t="n">
        <v>6</v>
      </c>
      <c r="B15" t="inlineStr">
        <is>
          <t>The Magnetic Poet</t>
        </is>
      </c>
      <c r="C15" t="inlineStr">
        <is>
          <t>Soul Storyteller</t>
        </is>
      </c>
      <c r="D15" t="n">
        <v>3</v>
      </c>
      <c r="E15" t="n">
        <v>3</v>
      </c>
      <c r="F15" t="n">
        <v>2</v>
      </c>
      <c r="G15" t="n">
        <v>3</v>
      </c>
      <c r="H15" t="inlineStr">
        <is>
          <t>Emotionally articulate, romantic, and deeply sensitive.</t>
        </is>
      </c>
      <c r="I15" t="inlineStr">
        <is>
          <t>The Quiet Depth</t>
        </is>
      </c>
      <c r="J15" t="inlineStr">
        <is>
          <t>The Mirror Mask</t>
        </is>
      </c>
      <c r="K15" t="inlineStr">
        <is>
          <t>A lone figure writing at a desk lit by a single lamp, pages drifting into faint glowing symbols, dark room, rich shadows, painterly realistic style.</t>
        </is>
      </c>
      <c r="L15">
        <f>IF($B$5="","",ABS(D15-$B$5)+ABS(E15-$C$5)+ABS(F15-$D$5)+ABS(G15-$E$5))</f>
        <v/>
      </c>
    </row>
    <row r="16">
      <c r="A16" t="n">
        <v>7</v>
      </c>
      <c r="B16" t="inlineStr">
        <is>
          <t>The Mirror Mask</t>
        </is>
      </c>
      <c r="C16" t="inlineStr">
        <is>
          <t>Social Chameleon</t>
        </is>
      </c>
      <c r="D16" t="n">
        <v>2</v>
      </c>
      <c r="E16" t="n">
        <v>3</v>
      </c>
      <c r="F16" t="n">
        <v>3</v>
      </c>
      <c r="G16" t="n">
        <v>2</v>
      </c>
      <c r="H16" t="inlineStr">
        <is>
          <t>Reads the room fast and adjusts their emotional display.</t>
        </is>
      </c>
      <c r="I16" t="inlineStr">
        <is>
          <t>The Quiet Depth</t>
        </is>
      </c>
      <c r="J16" t="inlineStr">
        <is>
          <t>The Magnetic Poet</t>
        </is>
      </c>
      <c r="K16" t="inlineStr">
        <is>
          <t>A person holding a half-mirror mask, one eye visible and observant, reflections of other faces in the mask surface, cool tones, realistic with subtle surreal reflections.</t>
        </is>
      </c>
      <c r="L16">
        <f>IF($B$5="","",ABS(D16-$B$5)+ABS(E16-$C$5)+ABS(F16-$D$5)+ABS(G16-$E$5))</f>
        <v/>
      </c>
    </row>
    <row r="17">
      <c r="A17" t="n">
        <v>8</v>
      </c>
      <c r="B17" t="inlineStr">
        <is>
          <t>The Boundary Breaker</t>
        </is>
      </c>
      <c r="C17" t="inlineStr">
        <is>
          <t>Radical Sharer</t>
        </is>
      </c>
      <c r="D17" t="n">
        <v>2</v>
      </c>
      <c r="E17" t="n">
        <v>3</v>
      </c>
      <c r="F17" t="n">
        <v>1</v>
      </c>
      <c r="G17" t="n">
        <v>3</v>
      </c>
      <c r="H17" t="inlineStr">
        <is>
          <t>Open, intense, and quick to share deeply and directly.</t>
        </is>
      </c>
      <c r="I17" t="inlineStr">
        <is>
          <t>The Fortress-Keeper</t>
        </is>
      </c>
      <c r="J17" t="inlineStr">
        <is>
          <t>The Stormbound</t>
        </is>
      </c>
      <c r="K17" t="inlineStr">
        <is>
          <t>Two figures facing each other in a dark space, one pouring glowing light from their chest toward the other, bold and intimate, realistic style, strong contrast.</t>
        </is>
      </c>
      <c r="L17">
        <f>IF($B$5="","",ABS(D17-$B$5)+ABS(E17-$C$5)+ABS(F17-$D$5)+ABS(G17-$E$5))</f>
        <v/>
      </c>
    </row>
    <row r="18">
      <c r="A18" t="n">
        <v>9</v>
      </c>
      <c r="B18" t="inlineStr">
        <is>
          <t>The Iron Mask</t>
        </is>
      </c>
      <c r="C18" t="inlineStr">
        <is>
          <t>Locked Down</t>
        </is>
      </c>
      <c r="D18" t="n">
        <v>1</v>
      </c>
      <c r="E18" t="n">
        <v>1</v>
      </c>
      <c r="F18" t="n">
        <v>3</v>
      </c>
      <c r="G18" t="n">
        <v>1</v>
      </c>
      <c r="H18" t="inlineStr">
        <is>
          <t>Emotionally shut down, highly self-protective, hard to read.</t>
        </is>
      </c>
      <c r="I18" t="inlineStr">
        <is>
          <t>The Boundary Breaker</t>
        </is>
      </c>
      <c r="J18" t="inlineStr">
        <is>
          <t>The Resonant Sage</t>
        </is>
      </c>
      <c r="K18" t="inlineStr">
        <is>
          <t>A figure in a smooth dark metal mask, eyes hidden, standing against a black background, faint cracks with tiny light leaking through, hyperreal texture.</t>
        </is>
      </c>
      <c r="L18">
        <f>IF($B$5="","",ABS(D18-$B$5)+ABS(E18-$C$5)+ABS(F18-$D$5)+ABS(G18-$E$5))</f>
        <v/>
      </c>
    </row>
    <row r="19">
      <c r="A19" t="n">
        <v>10</v>
      </c>
      <c r="B19" t="inlineStr">
        <is>
          <t>The Strategist</t>
        </is>
      </c>
      <c r="C19" t="inlineStr">
        <is>
          <t>Controlled Planner</t>
        </is>
      </c>
      <c r="D19" t="n">
        <v>2</v>
      </c>
      <c r="E19" t="n">
        <v>2</v>
      </c>
      <c r="F19" t="n">
        <v>3</v>
      </c>
      <c r="G19" t="n">
        <v>1</v>
      </c>
      <c r="H19" t="inlineStr">
        <is>
          <t>Thinks before feeling, manages emotions through logic.</t>
        </is>
      </c>
      <c r="I19" t="inlineStr">
        <is>
          <t>The Open Flame</t>
        </is>
      </c>
      <c r="J19" t="inlineStr">
        <is>
          <t>The Boundary Breaker</t>
        </is>
      </c>
      <c r="K19" t="inlineStr">
        <is>
          <t>A person at a table covered in maps and diagrams lit from above, expression calm and focused, everything else fading into darkness, realistic, clean lines.</t>
        </is>
      </c>
      <c r="L19">
        <f>IF($B$5="","",ABS(D19-$B$5)+ABS(E19-$C$5)+ABS(F19-$D$5)+ABS(G19-$E$5))</f>
        <v/>
      </c>
    </row>
    <row r="20">
      <c r="A20" t="n">
        <v>11</v>
      </c>
      <c r="B20" t="inlineStr">
        <is>
          <t>The Gentle Ghost</t>
        </is>
      </c>
      <c r="C20" t="inlineStr">
        <is>
          <t>Quiet Withdrawer</t>
        </is>
      </c>
      <c r="D20" t="n">
        <v>1</v>
      </c>
      <c r="E20" t="n">
        <v>1</v>
      </c>
      <c r="F20" t="n">
        <v>3</v>
      </c>
      <c r="G20" t="n">
        <v>2</v>
      </c>
      <c r="H20" t="inlineStr">
        <is>
          <t>Pulls back softly when overwhelmed, avoids conflict.</t>
        </is>
      </c>
      <c r="I20" t="inlineStr">
        <is>
          <t>The Magnetic Poet</t>
        </is>
      </c>
      <c r="J20" t="inlineStr">
        <is>
          <t>The Truth Teller</t>
        </is>
      </c>
      <c r="K20" t="inlineStr">
        <is>
          <t>A faint, semi-transparent figure walking down a dim hallway, edges blurred into the shadows, soft cool tones, melancholic but peaceful realism.</t>
        </is>
      </c>
      <c r="L20">
        <f>IF($B$5="","",ABS(D20-$B$5)+ABS(E20-$C$5)+ABS(F20-$D$5)+ABS(G20-$E$5))</f>
        <v/>
      </c>
    </row>
    <row r="21">
      <c r="A21" t="n">
        <v>12</v>
      </c>
      <c r="B21" t="inlineStr">
        <is>
          <t>The Fortress-Keeper</t>
        </is>
      </c>
      <c r="C21" t="inlineStr">
        <is>
          <t>Guarded Loyalist</t>
        </is>
      </c>
      <c r="D21" t="n">
        <v>2</v>
      </c>
      <c r="E21" t="n">
        <v>1</v>
      </c>
      <c r="F21" t="n">
        <v>3</v>
      </c>
      <c r="G21" t="n">
        <v>3</v>
      </c>
      <c r="H21" t="inlineStr">
        <is>
          <t>Slow to trust but fiercely loyal once you are inside.</t>
        </is>
      </c>
      <c r="I21" t="inlineStr">
        <is>
          <t>The Boundary Breaker</t>
        </is>
      </c>
      <c r="J21" t="inlineStr">
        <is>
          <t>The Open Flame</t>
        </is>
      </c>
      <c r="K21" t="inlineStr">
        <is>
          <t>A tall stone gate in the night with a single warm light deep inside, heavy doors slightly open, realistic stone texture, moody sky above.</t>
        </is>
      </c>
      <c r="L21">
        <f>IF($B$5="","",ABS(D21-$B$5)+ABS(E21-$C$5)+ABS(F21-$D$5)+ABS(G21-$E$5))</f>
        <v/>
      </c>
    </row>
    <row r="22">
      <c r="A22" t="n">
        <v>13</v>
      </c>
      <c r="B22" t="inlineStr">
        <is>
          <t>The Quiet Depth</t>
        </is>
      </c>
      <c r="C22" t="inlineStr">
        <is>
          <t>Selective Intimate</t>
        </is>
      </c>
      <c r="D22" t="n">
        <v>2</v>
      </c>
      <c r="E22" t="n">
        <v>2</v>
      </c>
      <c r="F22" t="n">
        <v>1</v>
      </c>
      <c r="G22" t="n">
        <v>3</v>
      </c>
      <c r="H22" t="inlineStr">
        <is>
          <t>Private but deeply loyal and emotionally present with a few.</t>
        </is>
      </c>
      <c r="I22" t="inlineStr">
        <is>
          <t>The Magnetic Poet</t>
        </is>
      </c>
      <c r="J22" t="inlineStr">
        <is>
          <t>The Strategist</t>
        </is>
      </c>
      <c r="K22" t="inlineStr">
        <is>
          <t>A person sitting by a dark lake at night, stars reflected in the water, posture relaxed and turned slightly away, subtle glow on the shoreline, serene realism.</t>
        </is>
      </c>
      <c r="L22">
        <f>IF($B$5="","",ABS(D22-$B$5)+ABS(E22-$C$5)+ABS(F22-$D$5)+ABS(G22-$E$5))</f>
        <v/>
      </c>
    </row>
    <row r="23">
      <c r="A23" t="n">
        <v>14</v>
      </c>
      <c r="B23" t="inlineStr">
        <is>
          <t>The Open Seeker</t>
        </is>
      </c>
      <c r="C23" t="inlineStr">
        <is>
          <t>Connection Explorer</t>
        </is>
      </c>
      <c r="D23" t="n">
        <v>2</v>
      </c>
      <c r="E23" t="n">
        <v>3</v>
      </c>
      <c r="F23" t="n">
        <v>2</v>
      </c>
      <c r="G23" t="n">
        <v>3</v>
      </c>
      <c r="H23" t="inlineStr">
        <is>
          <t>Actively looks for meaningful connection and new emotional experiences.</t>
        </is>
      </c>
      <c r="I23" t="inlineStr">
        <is>
          <t>The Resonant Sage</t>
        </is>
      </c>
      <c r="J23" t="inlineStr">
        <is>
          <t>The Iron Mask</t>
        </is>
      </c>
      <c r="K23" t="inlineStr">
        <is>
          <t>A traveler standing at a crossroads under a twilight sky, paths lit with soft lanterns, figure looking ahead with curiosity, detailed and atmospheric.</t>
        </is>
      </c>
      <c r="L23">
        <f>IF($B$5="","",ABS(D23-$B$5)+ABS(E23-$C$5)+ABS(F23-$D$5)+ABS(G23-$E$5))</f>
        <v/>
      </c>
    </row>
    <row r="24">
      <c r="A24" t="n">
        <v>15</v>
      </c>
      <c r="B24" t="inlineStr">
        <is>
          <t>The Tethered Caretaker</t>
        </is>
      </c>
      <c r="C24" t="inlineStr">
        <is>
          <t>Self-Losing Helper</t>
        </is>
      </c>
      <c r="D24" t="n">
        <v>1</v>
      </c>
      <c r="E24" t="n">
        <v>2</v>
      </c>
      <c r="F24" t="n">
        <v>2</v>
      </c>
      <c r="G24" t="n">
        <v>3</v>
      </c>
      <c r="H24" t="inlineStr">
        <is>
          <t>Takes care of others first and often forgets their own needs.</t>
        </is>
      </c>
      <c r="I24" t="inlineStr">
        <is>
          <t>The Inner Compass</t>
        </is>
      </c>
      <c r="J24" t="inlineStr">
        <is>
          <t>The Truth Teller</t>
        </is>
      </c>
      <c r="K24" t="inlineStr">
        <is>
          <t>A person wrapping a glowing bandage around someone else’s arm, their own arm faintly cracked and dim, warm and sad at the same time, realistic style.</t>
        </is>
      </c>
      <c r="L24">
        <f>IF($B$5="","",ABS(D24-$B$5)+ABS(E24-$C$5)+ABS(F24-$D$5)+ABS(G24-$E$5))</f>
        <v/>
      </c>
    </row>
    <row r="25">
      <c r="A25" t="n">
        <v>16</v>
      </c>
      <c r="B25" t="inlineStr">
        <is>
          <t>The Inner Compass</t>
        </is>
      </c>
      <c r="C25" t="inlineStr">
        <is>
          <t>Centered Guide</t>
        </is>
      </c>
      <c r="D25" t="n">
        <v>2</v>
      </c>
      <c r="E25" t="n">
        <v>2</v>
      </c>
      <c r="F25" t="n">
        <v>2</v>
      </c>
      <c r="G25" t="n">
        <v>3</v>
      </c>
      <c r="H25" t="inlineStr">
        <is>
          <t>Balanced between independence and closeness, steady and clear.</t>
        </is>
      </c>
      <c r="I25" t="inlineStr">
        <is>
          <t>The Open Flame</t>
        </is>
      </c>
      <c r="J25" t="inlineStr">
        <is>
          <t>The Gentle Ghost</t>
        </is>
      </c>
      <c r="K25" t="inlineStr">
        <is>
          <t>A figure standing in a dark space with a softly glowing compass in their hands, light illuminating their face, calm expression, grounded, hyperreal detail.</t>
        </is>
      </c>
      <c r="L25">
        <f>IF($B$5="","",ABS(D25-$B$5)+ABS(E25-$C$5)+ABS(F25-$D$5)+ABS(G25-$E$5))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2025-11-17T15:19:59Z</dcterms:created>
  <dcterms:modified xmlns:dcterms="http://purl.org/dc/terms/" xmlns:xsi="http://www.w3.org/2001/XMLSchema-instance" xsi:type="dcterms:W3CDTF">2025-11-17T15:19:59Z</dcterms:modified>
</cp:coreProperties>
</file>